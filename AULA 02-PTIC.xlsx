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TIC\"/>
    </mc:Choice>
  </mc:AlternateContent>
  <xr:revisionPtr revIDLastSave="0" documentId="13_ncr:1_{A9410C72-B999-4112-AE51-9F606A002F56}" xr6:coauthVersionLast="36" xr6:coauthVersionMax="36" xr10:uidLastSave="{00000000-0000-0000-0000-000000000000}"/>
  <bookViews>
    <workbookView xWindow="0" yWindow="0" windowWidth="28800" windowHeight="12105" activeTab="1" xr2:uid="{28501F88-7677-4DF6-9970-B00A37CC8A76}"/>
  </bookViews>
  <sheets>
    <sheet name="Notas" sheetId="1" r:id="rId1"/>
    <sheet name="Comissão de Vendas " sheetId="2" r:id="rId2"/>
  </sheets>
  <definedNames>
    <definedName name="BOLETIM">Notas!$A$1:$H$7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13" i="2"/>
  <c r="B11" i="2"/>
  <c r="F5" i="2"/>
  <c r="F6" i="2"/>
  <c r="F7" i="2"/>
  <c r="F4" i="2"/>
  <c r="H3" i="1" l="1"/>
  <c r="H4" i="1"/>
  <c r="H6" i="1"/>
  <c r="H5" i="1"/>
  <c r="G4" i="1"/>
  <c r="G5" i="1"/>
  <c r="G6" i="1"/>
  <c r="G7" i="1"/>
  <c r="H7" i="1" s="1"/>
  <c r="G3" i="1"/>
  <c r="B10" i="1"/>
  <c r="F4" i="1"/>
  <c r="F5" i="1"/>
  <c r="F6" i="1"/>
  <c r="F7" i="1"/>
  <c r="F3" i="1"/>
  <c r="H1" i="1"/>
  <c r="B11" i="1" l="1"/>
</calcChain>
</file>

<file path=xl/sharedStrings.xml><?xml version="1.0" encoding="utf-8"?>
<sst xmlns="http://schemas.openxmlformats.org/spreadsheetml/2006/main" count="32" uniqueCount="31">
  <si>
    <t>Planilha de notas</t>
  </si>
  <si>
    <t>Aluno</t>
  </si>
  <si>
    <t>Nota 1</t>
  </si>
  <si>
    <t>Nota 2</t>
  </si>
  <si>
    <t>Soma</t>
  </si>
  <si>
    <t>Maria</t>
  </si>
  <si>
    <t>Silvia</t>
  </si>
  <si>
    <t>José</t>
  </si>
  <si>
    <t>Marcelo</t>
  </si>
  <si>
    <t>Gabriel</t>
  </si>
  <si>
    <t>Nota 3</t>
  </si>
  <si>
    <t>Nota 4</t>
  </si>
  <si>
    <t>Nota máxima</t>
  </si>
  <si>
    <t>A nota máxima</t>
  </si>
  <si>
    <t>Média</t>
  </si>
  <si>
    <t>Situação</t>
  </si>
  <si>
    <t xml:space="preserve">Comissão de vendas </t>
  </si>
  <si>
    <t>Nome do Vendedor</t>
  </si>
  <si>
    <t>Departamento</t>
  </si>
  <si>
    <t>Valor da Venda</t>
  </si>
  <si>
    <t>Limite mínimo</t>
  </si>
  <si>
    <t>Porcentagem da Comissão</t>
  </si>
  <si>
    <t>Maria Eduarda</t>
  </si>
  <si>
    <t>Luiz Henrique</t>
  </si>
  <si>
    <t>Sabrina da Silva</t>
  </si>
  <si>
    <t>Valor da Comissão</t>
  </si>
  <si>
    <t>Lorenna Alves</t>
  </si>
  <si>
    <t>Skin care</t>
  </si>
  <si>
    <t>Maquiagem</t>
  </si>
  <si>
    <t>Unha</t>
  </si>
  <si>
    <t>Valor de Comissão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</si>
</sst>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8" borderId="1" xfId="3" applyBorder="1"/>
    <xf numFmtId="0" fontId="5" fillId="7" borderId="1" xfId="2" applyBorder="1"/>
    <xf numFmtId="164" fontId="5" fillId="7" borderId="1" xfId="2" applyNumberFormat="1" applyBorder="1"/>
    <xf numFmtId="9" fontId="5" fillId="7" borderId="1" xfId="2" applyNumberFormat="1" applyBorder="1"/>
    <xf numFmtId="0" fontId="6" fillId="9" borderId="1" xfId="0" applyFont="1" applyFill="1" applyBorder="1" applyAlignment="1">
      <alignment horizontal="center"/>
    </xf>
    <xf numFmtId="0" fontId="0" fillId="10" borderId="1" xfId="0" applyFill="1" applyBorder="1"/>
    <xf numFmtId="0" fontId="5" fillId="11" borderId="2" xfId="2" applyFill="1" applyBorder="1" applyAlignment="1">
      <alignment horizontal="center"/>
    </xf>
    <xf numFmtId="0" fontId="7" fillId="0" borderId="0" xfId="0" applyFont="1"/>
  </cellXfs>
  <cellStyles count="4">
    <cellStyle name="20% - Ênfase2" xfId="2" builtinId="34"/>
    <cellStyle name="60% - Ênfase2" xfId="3" builtinId="36"/>
    <cellStyle name="Ênfase5" xfId="1" builtinId="45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6245370370370371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Notas!$G$2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23D-4069-B298-32C490F637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23D-4069-B298-32C490F637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23D-4069-B298-32C490F637E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23D-4069-B298-32C490F637E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23D-4069-B298-32C490F637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Notas!$A$3:$A$7</c:f>
              <c:strCache>
                <c:ptCount val="5"/>
                <c:pt idx="0">
                  <c:v>Maria</c:v>
                </c:pt>
                <c:pt idx="1">
                  <c:v>Silvia</c:v>
                </c:pt>
                <c:pt idx="2">
                  <c:v>José</c:v>
                </c:pt>
                <c:pt idx="3">
                  <c:v>Marcelo</c:v>
                </c:pt>
                <c:pt idx="4">
                  <c:v>Gabriel</c:v>
                </c:pt>
              </c:strCache>
            </c:strRef>
          </c:cat>
          <c:val>
            <c:numRef>
              <c:f>Notas!$G$3:$G$7</c:f>
              <c:numCache>
                <c:formatCode>General</c:formatCode>
                <c:ptCount val="5"/>
                <c:pt idx="0">
                  <c:v>7.25</c:v>
                </c:pt>
                <c:pt idx="1">
                  <c:v>7</c:v>
                </c:pt>
                <c:pt idx="2">
                  <c:v>6.75</c:v>
                </c:pt>
                <c:pt idx="3">
                  <c:v>8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E-4CCD-94D7-64D879C509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</xdr:row>
      <xdr:rowOff>4761</xdr:rowOff>
    </xdr:from>
    <xdr:to>
      <xdr:col>17</xdr:col>
      <xdr:colOff>38099</xdr:colOff>
      <xdr:row>12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4577D1-FD92-4497-9EF5-119455B75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1A68-9F67-4BCA-BF86-9E08022A2C48}">
  <dimension ref="A1:H11"/>
  <sheetViews>
    <sheetView workbookViewId="0">
      <selection activeCell="E15" sqref="E15"/>
    </sheetView>
  </sheetViews>
  <sheetFormatPr defaultRowHeight="15" x14ac:dyDescent="0.25"/>
  <cols>
    <col min="1" max="1" width="15" style="1" customWidth="1"/>
    <col min="2" max="2" width="17.42578125" style="1" customWidth="1"/>
    <col min="3" max="3" width="16.140625" style="1" customWidth="1"/>
    <col min="4" max="4" width="16.5703125" style="1" customWidth="1"/>
    <col min="5" max="5" width="16" style="1" customWidth="1"/>
    <col min="6" max="6" width="20.140625" style="1" customWidth="1"/>
    <col min="7" max="7" width="16.85546875" style="1" customWidth="1"/>
    <col min="8" max="8" width="18.42578125" style="1" customWidth="1"/>
    <col min="9" max="9" width="12.7109375" style="1" bestFit="1" customWidth="1"/>
    <col min="10" max="16" width="9.140625" style="1"/>
    <col min="17" max="17" width="6" style="1" customWidth="1"/>
    <col min="18" max="16384" width="9.140625" style="1"/>
  </cols>
  <sheetData>
    <row r="1" spans="1:8" ht="29.25" customHeight="1" x14ac:dyDescent="0.25">
      <c r="A1" s="8" t="s">
        <v>0</v>
      </c>
      <c r="B1" s="8"/>
      <c r="C1" s="8"/>
      <c r="D1" s="8"/>
      <c r="E1" s="8"/>
      <c r="F1" s="8"/>
      <c r="G1" s="8"/>
      <c r="H1" s="7">
        <f ca="1">TODAY()</f>
        <v>46286</v>
      </c>
    </row>
    <row r="2" spans="1:8" ht="60.75" customHeight="1" x14ac:dyDescent="0.25">
      <c r="A2" s="4" t="s">
        <v>1</v>
      </c>
      <c r="B2" s="4" t="s">
        <v>2</v>
      </c>
      <c r="C2" s="4" t="s">
        <v>3</v>
      </c>
      <c r="D2" s="4" t="s">
        <v>10</v>
      </c>
      <c r="E2" s="4" t="s">
        <v>11</v>
      </c>
      <c r="F2" s="4" t="s">
        <v>4</v>
      </c>
      <c r="G2" s="4" t="s">
        <v>14</v>
      </c>
      <c r="H2" s="4" t="s">
        <v>15</v>
      </c>
    </row>
    <row r="3" spans="1:8" x14ac:dyDescent="0.25">
      <c r="A3" s="3" t="s">
        <v>5</v>
      </c>
      <c r="B3" s="2">
        <v>2</v>
      </c>
      <c r="C3" s="2">
        <v>7</v>
      </c>
      <c r="D3" s="2">
        <v>10</v>
      </c>
      <c r="E3" s="2">
        <v>10</v>
      </c>
      <c r="F3" s="2">
        <f>SUM(B3:E3)</f>
        <v>29</v>
      </c>
      <c r="G3" s="2">
        <f>AVERAGE(B3:E3)</f>
        <v>7.25</v>
      </c>
      <c r="H3" s="2" t="str">
        <f t="shared" ref="H3:H4" si="0">IF(G3&gt;=7, "APROVADO", IF(G3&gt;=5,"RECUPERAÇÃO","REPROVADO"))</f>
        <v>APROVADO</v>
      </c>
    </row>
    <row r="4" spans="1:8" x14ac:dyDescent="0.25">
      <c r="A4" s="3" t="s">
        <v>6</v>
      </c>
      <c r="B4" s="2">
        <v>8</v>
      </c>
      <c r="C4" s="2">
        <v>5</v>
      </c>
      <c r="D4" s="2">
        <v>7</v>
      </c>
      <c r="E4" s="2">
        <v>8</v>
      </c>
      <c r="F4" s="2">
        <f>SUM(B4:E4)</f>
        <v>28</v>
      </c>
      <c r="G4" s="2">
        <f t="shared" ref="G4:G7" si="1">AVERAGE(B4:E4)</f>
        <v>7</v>
      </c>
      <c r="H4" s="2" t="str">
        <f t="shared" si="0"/>
        <v>APROVADO</v>
      </c>
    </row>
    <row r="5" spans="1:8" x14ac:dyDescent="0.25">
      <c r="A5" s="3" t="s">
        <v>7</v>
      </c>
      <c r="B5" s="2">
        <v>9</v>
      </c>
      <c r="C5" s="2">
        <v>8</v>
      </c>
      <c r="D5" s="2">
        <v>5</v>
      </c>
      <c r="E5" s="2">
        <v>5</v>
      </c>
      <c r="F5" s="2">
        <f>SUM(B5:E5)</f>
        <v>27</v>
      </c>
      <c r="G5" s="2">
        <f t="shared" si="1"/>
        <v>6.75</v>
      </c>
      <c r="H5" s="2" t="str">
        <f>IF(G5&gt;=7, "APROVADO", IF(G5&gt;=5,"RECUPERAÇÃO","REPROVADO"))</f>
        <v>RECUPERAÇÃO</v>
      </c>
    </row>
    <row r="6" spans="1:8" x14ac:dyDescent="0.25">
      <c r="A6" s="3" t="s">
        <v>8</v>
      </c>
      <c r="B6" s="2">
        <v>10</v>
      </c>
      <c r="C6" s="2">
        <v>2</v>
      </c>
      <c r="D6" s="2">
        <v>10</v>
      </c>
      <c r="E6" s="2">
        <v>10</v>
      </c>
      <c r="F6" s="2">
        <f>SUM(B6:E6)</f>
        <v>32</v>
      </c>
      <c r="G6" s="2">
        <f t="shared" si="1"/>
        <v>8</v>
      </c>
      <c r="H6" s="2" t="str">
        <f t="shared" ref="H6:H7" si="2">IF(G6&gt;=7, "APROVADO", IF(G6&gt;=5,"RECUPERAÇÃO","REPROVADO"))</f>
        <v>APROVADO</v>
      </c>
    </row>
    <row r="7" spans="1:8" x14ac:dyDescent="0.25">
      <c r="A7" s="3" t="s">
        <v>9</v>
      </c>
      <c r="B7" s="2">
        <v>4</v>
      </c>
      <c r="C7" s="2">
        <v>3</v>
      </c>
      <c r="D7" s="2">
        <v>5</v>
      </c>
      <c r="E7" s="2">
        <v>6</v>
      </c>
      <c r="F7" s="2">
        <f>SUM(B7:E7)</f>
        <v>18</v>
      </c>
      <c r="G7" s="2">
        <f t="shared" si="1"/>
        <v>4.5</v>
      </c>
      <c r="H7" s="2" t="str">
        <f t="shared" si="2"/>
        <v>REPROVADO</v>
      </c>
    </row>
    <row r="10" spans="1:8" ht="18" customHeight="1" x14ac:dyDescent="0.25">
      <c r="A10" s="5" t="s">
        <v>13</v>
      </c>
      <c r="B10" s="6">
        <f>MAX(B3:E7)</f>
        <v>10</v>
      </c>
    </row>
    <row r="11" spans="1:8" ht="19.5" customHeight="1" x14ac:dyDescent="0.25">
      <c r="A11" s="4" t="s">
        <v>12</v>
      </c>
      <c r="B11" s="2">
        <f>MAX(F3:F7)</f>
        <v>32</v>
      </c>
    </row>
  </sheetData>
  <mergeCells count="1">
    <mergeCell ref="A1:G1"/>
  </mergeCells>
  <conditionalFormatting sqref="G3:G7">
    <cfRule type="cellIs" dxfId="12" priority="4" operator="between">
      <formula>5</formula>
      <formula>6.99</formula>
    </cfRule>
    <cfRule type="cellIs" dxfId="11" priority="5" operator="lessThan">
      <formula>5</formula>
    </cfRule>
    <cfRule type="cellIs" dxfId="10" priority="6" operator="greaterThan">
      <formula>6</formula>
    </cfRule>
    <cfRule type="cellIs" dxfId="9" priority="7" operator="between">
      <formula>5</formula>
      <formula>6.99</formula>
    </cfRule>
    <cfRule type="cellIs" dxfId="8" priority="8" operator="between">
      <formula>5</formula>
      <formula>7</formula>
    </cfRule>
    <cfRule type="cellIs" dxfId="7" priority="9" operator="lessThan">
      <formula>5</formula>
    </cfRule>
    <cfRule type="cellIs" dxfId="6" priority="10" operator="greaterThan">
      <formula>7</formula>
    </cfRule>
    <cfRule type="aboveAverage" dxfId="5" priority="11" equalAverage="1"/>
    <cfRule type="aboveAverage" dxfId="4" priority="12" aboveAverage="0"/>
    <cfRule type="aboveAverage" dxfId="3" priority="13"/>
  </conditionalFormatting>
  <conditionalFormatting sqref="H3:H7">
    <cfRule type="containsText" dxfId="2" priority="3" operator="containsText" text="APROVADO">
      <formula>NOT(ISERROR(SEARCH("APROVADO",H3)))</formula>
    </cfRule>
    <cfRule type="containsText" dxfId="1" priority="2" operator="containsText" text="RECUPERAÇÃO">
      <formula>NOT(ISERROR(SEARCH("RECUPERAÇÃO",H3)))</formula>
    </cfRule>
    <cfRule type="containsText" dxfId="0" priority="1" operator="containsText" text="REPROVADO">
      <formula>NOT(ISERROR(SEARCH("REPROVADO",H3)))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4E76-DEDA-4B2E-94B4-90155E6067DA}">
  <dimension ref="A1:F13"/>
  <sheetViews>
    <sheetView tabSelected="1" workbookViewId="0">
      <selection activeCell="C12" sqref="C12"/>
    </sheetView>
  </sheetViews>
  <sheetFormatPr defaultRowHeight="15" x14ac:dyDescent="0.25"/>
  <cols>
    <col min="1" max="1" width="21.42578125" bestFit="1" customWidth="1"/>
    <col min="2" max="2" width="14" bestFit="1" customWidth="1"/>
    <col min="3" max="3" width="14.5703125" bestFit="1" customWidth="1"/>
    <col min="4" max="4" width="13.85546875" bestFit="1" customWidth="1"/>
    <col min="5" max="5" width="24.5703125" bestFit="1" customWidth="1"/>
    <col min="6" max="6" width="17" bestFit="1" customWidth="1"/>
  </cols>
  <sheetData>
    <row r="1" spans="1:6" ht="21" x14ac:dyDescent="0.35">
      <c r="A1" s="13" t="s">
        <v>16</v>
      </c>
      <c r="B1" s="13"/>
      <c r="C1" s="13"/>
      <c r="D1" s="13"/>
      <c r="E1" s="13"/>
      <c r="F1" s="13"/>
    </row>
    <row r="3" spans="1:6" x14ac:dyDescent="0.25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25</v>
      </c>
    </row>
    <row r="4" spans="1:6" x14ac:dyDescent="0.25">
      <c r="A4" s="10" t="s">
        <v>22</v>
      </c>
      <c r="B4" s="10" t="s">
        <v>27</v>
      </c>
      <c r="C4" s="11">
        <v>12000</v>
      </c>
      <c r="D4" s="11">
        <v>7000</v>
      </c>
      <c r="E4" s="12">
        <v>0.1</v>
      </c>
      <c r="F4" s="10">
        <f>IF(C4&lt;D4,0,C4*E4)</f>
        <v>1200</v>
      </c>
    </row>
    <row r="5" spans="1:6" x14ac:dyDescent="0.25">
      <c r="A5" s="10" t="s">
        <v>23</v>
      </c>
      <c r="B5" s="10" t="s">
        <v>28</v>
      </c>
      <c r="C5" s="11">
        <v>14000</v>
      </c>
      <c r="D5" s="11">
        <v>8000</v>
      </c>
      <c r="E5" s="12">
        <v>0.1</v>
      </c>
      <c r="F5" s="10">
        <f t="shared" ref="F5:F7" si="0">IF(C5&lt;D5,0,C5*E5)</f>
        <v>1400</v>
      </c>
    </row>
    <row r="6" spans="1:6" x14ac:dyDescent="0.25">
      <c r="A6" s="10" t="s">
        <v>24</v>
      </c>
      <c r="B6" s="10" t="s">
        <v>29</v>
      </c>
      <c r="C6" s="11">
        <v>8000</v>
      </c>
      <c r="D6" s="11">
        <v>5000</v>
      </c>
      <c r="E6" s="12">
        <v>0.1</v>
      </c>
      <c r="F6" s="10">
        <f t="shared" si="0"/>
        <v>800</v>
      </c>
    </row>
    <row r="7" spans="1:6" x14ac:dyDescent="0.25">
      <c r="A7" s="10" t="s">
        <v>26</v>
      </c>
      <c r="B7" s="10" t="s">
        <v>27</v>
      </c>
      <c r="C7" s="11">
        <v>9000</v>
      </c>
      <c r="D7" s="11">
        <v>7000</v>
      </c>
      <c r="E7" s="12">
        <v>0.1</v>
      </c>
      <c r="F7" s="10">
        <f t="shared" si="0"/>
        <v>900</v>
      </c>
    </row>
    <row r="10" spans="1:6" x14ac:dyDescent="0.25">
      <c r="A10" s="15" t="s">
        <v>30</v>
      </c>
      <c r="B10" s="15"/>
    </row>
    <row r="11" spans="1:6" x14ac:dyDescent="0.25">
      <c r="A11" s="14">
        <v>1</v>
      </c>
      <c r="B11" s="14">
        <f>LARGE(F4:F7,1)</f>
        <v>1400</v>
      </c>
    </row>
    <row r="12" spans="1:6" x14ac:dyDescent="0.25">
      <c r="A12" s="14">
        <v>2</v>
      </c>
      <c r="B12" s="14">
        <f>LARGE(F4:F7,2)</f>
        <v>1200</v>
      </c>
      <c r="C12" s="16"/>
    </row>
    <row r="13" spans="1:6" x14ac:dyDescent="0.25">
      <c r="A13" s="14">
        <v>3</v>
      </c>
      <c r="B13" s="14">
        <f>LARGE(F4:F7,3)</f>
        <v>900</v>
      </c>
    </row>
  </sheetData>
  <mergeCells count="2">
    <mergeCell ref="A1:F1"/>
    <mergeCell ref="A10:B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Notas</vt:lpstr>
      <vt:lpstr>Comissão de Vendas </vt:lpstr>
      <vt:lpstr>BOLETIM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2026-09-21T22:25:45Z</dcterms:created>
  <dcterms:modified xsi:type="dcterms:W3CDTF">2026-09-22T01:06:08Z</dcterms:modified>
</cp:coreProperties>
</file>