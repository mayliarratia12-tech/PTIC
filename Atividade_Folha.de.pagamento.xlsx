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ARGO\Desktop\PTIC\"/>
    </mc:Choice>
  </mc:AlternateContent>
  <xr:revisionPtr revIDLastSave="0" documentId="13_ncr:1_{9E2A3D72-D6C1-4E38-8E67-296F23253BA3}" xr6:coauthVersionLast="36" xr6:coauthVersionMax="36" xr10:uidLastSave="{00000000-0000-0000-0000-000000000000}"/>
  <bookViews>
    <workbookView xWindow="0" yWindow="0" windowWidth="28800" windowHeight="12105" xr2:uid="{60E461DF-C72D-49CE-A929-5AE21C753EA0}"/>
  </bookViews>
  <sheets>
    <sheet name="Folha de pagamento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  <c r="J9" i="1"/>
  <c r="J10" i="1"/>
  <c r="F8" i="1"/>
  <c r="F10" i="1"/>
  <c r="F12" i="1"/>
  <c r="H12" i="1" s="1"/>
  <c r="H8" i="1"/>
  <c r="G5" i="1"/>
  <c r="G6" i="1"/>
  <c r="G8" i="1"/>
  <c r="G9" i="1"/>
  <c r="G10" i="1"/>
  <c r="G12" i="1"/>
  <c r="E5" i="1"/>
  <c r="F5" i="1" s="1"/>
  <c r="H5" i="1" s="1"/>
  <c r="I5" i="1" s="1"/>
  <c r="E6" i="1"/>
  <c r="F6" i="1" s="1"/>
  <c r="H6" i="1" s="1"/>
  <c r="E7" i="1"/>
  <c r="F7" i="1" s="1"/>
  <c r="H7" i="1" s="1"/>
  <c r="E8" i="1"/>
  <c r="E9" i="1"/>
  <c r="E10" i="1"/>
  <c r="H10" i="1" s="1"/>
  <c r="I10" i="1" s="1"/>
  <c r="E11" i="1"/>
  <c r="G11" i="1" s="1"/>
  <c r="E12" i="1"/>
  <c r="E13" i="1"/>
  <c r="G13" i="1" s="1"/>
  <c r="E4" i="1"/>
  <c r="F4" i="1" s="1"/>
  <c r="I6" i="1" l="1"/>
  <c r="J6" i="1" s="1"/>
  <c r="F13" i="1"/>
  <c r="I12" i="1"/>
  <c r="J12" i="1" s="1"/>
  <c r="I7" i="1"/>
  <c r="J7" i="1" s="1"/>
  <c r="G7" i="1"/>
  <c r="F11" i="1"/>
  <c r="H11" i="1" s="1"/>
  <c r="I8" i="1"/>
  <c r="J8" i="1" s="1"/>
  <c r="H4" i="1"/>
  <c r="G4" i="1"/>
  <c r="F9" i="1"/>
  <c r="H9" i="1" s="1"/>
  <c r="I9" i="1" s="1"/>
  <c r="H13" i="1"/>
  <c r="I13" i="1" l="1"/>
  <c r="J13" i="1" s="1"/>
  <c r="I11" i="1"/>
  <c r="J11" i="1"/>
  <c r="I4" i="1"/>
  <c r="J4" i="1"/>
</calcChain>
</file>

<file path=xl/sharedStrings.xml><?xml version="1.0" encoding="utf-8"?>
<sst xmlns="http://schemas.openxmlformats.org/spreadsheetml/2006/main" count="31" uniqueCount="25">
  <si>
    <t xml:space="preserve">Folha de pagamento </t>
  </si>
  <si>
    <t>Nome do Funcionário</t>
  </si>
  <si>
    <t>Cargo</t>
  </si>
  <si>
    <t>Valor da hora trabalhada</t>
  </si>
  <si>
    <t>Quantidade de horas trabalhadas</t>
  </si>
  <si>
    <t>Salário Bruto</t>
  </si>
  <si>
    <t>INSS</t>
  </si>
  <si>
    <t>FGTS</t>
  </si>
  <si>
    <t>Salário Líquido</t>
  </si>
  <si>
    <t>Anna Beatriz</t>
  </si>
  <si>
    <t>Tatiane Veloso</t>
  </si>
  <si>
    <t xml:space="preserve">Sabrina </t>
  </si>
  <si>
    <t>Jonathan</t>
  </si>
  <si>
    <t>Maria Eduarda</t>
  </si>
  <si>
    <t>Rosangela</t>
  </si>
  <si>
    <t>Vlademir</t>
  </si>
  <si>
    <t>Deborah</t>
  </si>
  <si>
    <t>Valéria</t>
  </si>
  <si>
    <t>Victoria</t>
  </si>
  <si>
    <t>Gerente</t>
  </si>
  <si>
    <t>Assistente</t>
  </si>
  <si>
    <t>Atendente</t>
  </si>
  <si>
    <t>Operador</t>
  </si>
  <si>
    <t>Acrescimo</t>
  </si>
  <si>
    <t>Salário Líquido + acrescimo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</si>
</sst>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1" fillId="3" borderId="2" xfId="2" applyBorder="1" applyAlignment="1">
      <alignment horizontal="center" vertical="center"/>
    </xf>
    <xf numFmtId="44" fontId="1" fillId="3" borderId="2" xfId="2" applyNumberFormat="1" applyBorder="1" applyAlignment="1">
      <alignment horizontal="center" vertical="center"/>
    </xf>
    <xf numFmtId="0" fontId="3" fillId="4" borderId="2" xfId="3" applyFont="1" applyBorder="1" applyAlignment="1">
      <alignment horizontal="center" vertical="center"/>
    </xf>
    <xf numFmtId="0" fontId="0" fillId="3" borderId="2" xfId="2" applyFont="1" applyBorder="1" applyAlignment="1">
      <alignment horizontal="center" vertical="center"/>
    </xf>
    <xf numFmtId="0" fontId="2" fillId="0" borderId="0" xfId="1" applyFill="1" applyBorder="1"/>
    <xf numFmtId="0" fontId="2" fillId="0" borderId="0" xfId="1" applyFill="1" applyBorder="1" applyAlignment="1">
      <alignment horizontal="center" vertical="center"/>
    </xf>
    <xf numFmtId="44" fontId="2" fillId="0" borderId="0" xfId="1" applyNumberFormat="1" applyFill="1" applyBorder="1" applyAlignment="1">
      <alignment horizontal="center" vertical="center"/>
    </xf>
    <xf numFmtId="0" fontId="3" fillId="4" borderId="2" xfId="3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</cellXfs>
  <cellStyles count="4">
    <cellStyle name="40% - Ênfase1" xfId="2" builtinId="31"/>
    <cellStyle name="60% - Ênfase1" xfId="3" builtinId="32"/>
    <cellStyle name="Cálculo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94157-3B6B-4B13-A86A-4AB3A15AD7B0}">
  <dimension ref="A1:M13"/>
  <sheetViews>
    <sheetView showGridLines="0" tabSelected="1" topLeftCell="D1" zoomScale="166" zoomScaleNormal="166" workbookViewId="0">
      <selection activeCell="J14" sqref="J14"/>
    </sheetView>
  </sheetViews>
  <sheetFormatPr defaultRowHeight="15" x14ac:dyDescent="0.25"/>
  <cols>
    <col min="1" max="1" width="26.42578125" style="1" customWidth="1"/>
    <col min="2" max="2" width="16.42578125" style="1" customWidth="1"/>
    <col min="3" max="3" width="25" style="1" bestFit="1" customWidth="1"/>
    <col min="4" max="4" width="34.7109375" style="1" customWidth="1"/>
    <col min="5" max="5" width="15.5703125" style="1" customWidth="1"/>
    <col min="6" max="6" width="13.42578125" style="1" customWidth="1"/>
    <col min="7" max="9" width="13.85546875" style="1" customWidth="1"/>
    <col min="10" max="10" width="16.140625" style="1" customWidth="1"/>
    <col min="11" max="12" width="13.85546875" style="1" customWidth="1"/>
    <col min="13" max="13" width="16.42578125" style="1" customWidth="1"/>
    <col min="14" max="16384" width="9.140625" style="1"/>
  </cols>
  <sheetData>
    <row r="1" spans="1:13" ht="18.75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4"/>
      <c r="L1" s="14"/>
      <c r="M1" s="14"/>
    </row>
    <row r="2" spans="1:13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13"/>
      <c r="L2" s="13"/>
      <c r="M2" s="13"/>
    </row>
    <row r="3" spans="1:13" ht="45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23</v>
      </c>
      <c r="J3" s="10" t="s">
        <v>24</v>
      </c>
    </row>
    <row r="4" spans="1:13" x14ac:dyDescent="0.25">
      <c r="A4" s="3" t="s">
        <v>9</v>
      </c>
      <c r="B4" s="3" t="s">
        <v>20</v>
      </c>
      <c r="C4" s="4">
        <v>12</v>
      </c>
      <c r="D4" s="3">
        <v>220</v>
      </c>
      <c r="E4" s="4">
        <f>C4*D4</f>
        <v>2640</v>
      </c>
      <c r="F4" s="4">
        <f>IF(E4&lt;=1621,E4*7.5%,IF(E4&lt;=2902.84,E4*9%,IF(E4&lt;=4354.27,E4*12%,IF(E4&lt;=8475.55,E4*14%))))</f>
        <v>237.6</v>
      </c>
      <c r="G4" s="4">
        <f>E4*8%</f>
        <v>211.20000000000002</v>
      </c>
      <c r="H4" s="4">
        <f>E4-F4</f>
        <v>2402.4</v>
      </c>
      <c r="I4" s="4">
        <f>IF(H4&lt;=1600,400,IF(H4&gt;1600,200))</f>
        <v>200</v>
      </c>
      <c r="J4" s="4">
        <f>H4+I4</f>
        <v>2602.4</v>
      </c>
    </row>
    <row r="5" spans="1:13" x14ac:dyDescent="0.25">
      <c r="A5" s="3" t="s">
        <v>10</v>
      </c>
      <c r="B5" s="6" t="s">
        <v>21</v>
      </c>
      <c r="C5" s="4">
        <v>7</v>
      </c>
      <c r="D5" s="3">
        <v>220</v>
      </c>
      <c r="E5" s="4">
        <f t="shared" ref="E5:E13" si="0">C5*D5</f>
        <v>1540</v>
      </c>
      <c r="F5" s="4">
        <f t="shared" ref="F5:F13" si="1">IF(E5&lt;=1621,E5*7.5%,IF(E5&lt;=2902.84,E5*9%,IF(E5&lt;=4354.27,E5*12%,IF(E5&lt;=8475.55,E5*14%))))</f>
        <v>115.5</v>
      </c>
      <c r="G5" s="4">
        <f t="shared" ref="G5:G13" si="2">E5*8%</f>
        <v>123.2</v>
      </c>
      <c r="H5" s="4">
        <f>E5-F5</f>
        <v>1424.5</v>
      </c>
      <c r="I5" s="4">
        <f t="shared" ref="I5:I13" si="3">IF(H5&lt;=1600,400,IF(H5&gt;1600,200))</f>
        <v>400</v>
      </c>
      <c r="J5" s="4">
        <f t="shared" ref="J5:J13" si="4">H5+I5</f>
        <v>1824.5</v>
      </c>
    </row>
    <row r="6" spans="1:13" x14ac:dyDescent="0.25">
      <c r="A6" s="3" t="s">
        <v>11</v>
      </c>
      <c r="B6" s="3" t="s">
        <v>19</v>
      </c>
      <c r="C6" s="4">
        <v>22</v>
      </c>
      <c r="D6" s="3">
        <v>220</v>
      </c>
      <c r="E6" s="4">
        <f t="shared" si="0"/>
        <v>4840</v>
      </c>
      <c r="F6" s="4">
        <f t="shared" si="1"/>
        <v>677.6</v>
      </c>
      <c r="G6" s="4">
        <f t="shared" si="2"/>
        <v>387.2</v>
      </c>
      <c r="H6" s="4">
        <f>E6-F6</f>
        <v>4162.3999999999996</v>
      </c>
      <c r="I6" s="4">
        <f t="shared" si="3"/>
        <v>200</v>
      </c>
      <c r="J6" s="4">
        <f t="shared" si="4"/>
        <v>4362.3999999999996</v>
      </c>
    </row>
    <row r="7" spans="1:13" x14ac:dyDescent="0.25">
      <c r="A7" s="3" t="s">
        <v>12</v>
      </c>
      <c r="B7" s="3" t="s">
        <v>22</v>
      </c>
      <c r="C7" s="4">
        <v>9</v>
      </c>
      <c r="D7" s="3">
        <v>220</v>
      </c>
      <c r="E7" s="4">
        <f t="shared" si="0"/>
        <v>1980</v>
      </c>
      <c r="F7" s="4">
        <f t="shared" si="1"/>
        <v>178.2</v>
      </c>
      <c r="G7" s="4">
        <f t="shared" si="2"/>
        <v>158.4</v>
      </c>
      <c r="H7" s="4">
        <f>E7-F7</f>
        <v>1801.8</v>
      </c>
      <c r="I7" s="4">
        <f t="shared" si="3"/>
        <v>200</v>
      </c>
      <c r="J7" s="4">
        <f t="shared" si="4"/>
        <v>2001.8</v>
      </c>
    </row>
    <row r="8" spans="1:13" x14ac:dyDescent="0.25">
      <c r="A8" s="3" t="s">
        <v>13</v>
      </c>
      <c r="B8" s="3" t="s">
        <v>20</v>
      </c>
      <c r="C8" s="4">
        <v>12</v>
      </c>
      <c r="D8" s="3">
        <v>220</v>
      </c>
      <c r="E8" s="4">
        <f t="shared" si="0"/>
        <v>2640</v>
      </c>
      <c r="F8" s="4">
        <f t="shared" si="1"/>
        <v>237.6</v>
      </c>
      <c r="G8" s="4">
        <f t="shared" si="2"/>
        <v>211.20000000000002</v>
      </c>
      <c r="H8" s="4">
        <f>E8-F8</f>
        <v>2402.4</v>
      </c>
      <c r="I8" s="4">
        <f t="shared" si="3"/>
        <v>200</v>
      </c>
      <c r="J8" s="4">
        <f t="shared" si="4"/>
        <v>2602.4</v>
      </c>
    </row>
    <row r="9" spans="1:13" x14ac:dyDescent="0.25">
      <c r="A9" s="3" t="s">
        <v>14</v>
      </c>
      <c r="B9" s="3" t="s">
        <v>21</v>
      </c>
      <c r="C9" s="4">
        <v>7</v>
      </c>
      <c r="D9" s="3">
        <v>220</v>
      </c>
      <c r="E9" s="4">
        <f t="shared" si="0"/>
        <v>1540</v>
      </c>
      <c r="F9" s="4">
        <f t="shared" si="1"/>
        <v>115.5</v>
      </c>
      <c r="G9" s="4">
        <f t="shared" si="2"/>
        <v>123.2</v>
      </c>
      <c r="H9" s="4">
        <f>E9-F9</f>
        <v>1424.5</v>
      </c>
      <c r="I9" s="4">
        <f t="shared" si="3"/>
        <v>400</v>
      </c>
      <c r="J9" s="4">
        <f t="shared" si="4"/>
        <v>1824.5</v>
      </c>
    </row>
    <row r="10" spans="1:13" x14ac:dyDescent="0.25">
      <c r="A10" s="3" t="s">
        <v>17</v>
      </c>
      <c r="B10" s="3" t="s">
        <v>21</v>
      </c>
      <c r="C10" s="4">
        <v>7</v>
      </c>
      <c r="D10" s="3">
        <v>220</v>
      </c>
      <c r="E10" s="4">
        <f t="shared" si="0"/>
        <v>1540</v>
      </c>
      <c r="F10" s="4">
        <f t="shared" si="1"/>
        <v>115.5</v>
      </c>
      <c r="G10" s="4">
        <f t="shared" si="2"/>
        <v>123.2</v>
      </c>
      <c r="H10" s="4">
        <f>E10-F10</f>
        <v>1424.5</v>
      </c>
      <c r="I10" s="4">
        <f t="shared" si="3"/>
        <v>400</v>
      </c>
      <c r="J10" s="4">
        <f t="shared" si="4"/>
        <v>1824.5</v>
      </c>
    </row>
    <row r="11" spans="1:13" x14ac:dyDescent="0.25">
      <c r="A11" s="3" t="s">
        <v>18</v>
      </c>
      <c r="B11" s="3" t="s">
        <v>20</v>
      </c>
      <c r="C11" s="4">
        <v>12</v>
      </c>
      <c r="D11" s="3">
        <v>220</v>
      </c>
      <c r="E11" s="4">
        <f t="shared" si="0"/>
        <v>2640</v>
      </c>
      <c r="F11" s="4">
        <f t="shared" si="1"/>
        <v>237.6</v>
      </c>
      <c r="G11" s="4">
        <f t="shared" si="2"/>
        <v>211.20000000000002</v>
      </c>
      <c r="H11" s="4">
        <f>E11-F11</f>
        <v>2402.4</v>
      </c>
      <c r="I11" s="4">
        <f t="shared" si="3"/>
        <v>200</v>
      </c>
      <c r="J11" s="4">
        <f t="shared" si="4"/>
        <v>2602.4</v>
      </c>
    </row>
    <row r="12" spans="1:13" x14ac:dyDescent="0.25">
      <c r="A12" s="3" t="s">
        <v>16</v>
      </c>
      <c r="B12" s="3" t="s">
        <v>22</v>
      </c>
      <c r="C12" s="4">
        <v>9</v>
      </c>
      <c r="D12" s="3">
        <v>220</v>
      </c>
      <c r="E12" s="4">
        <f t="shared" si="0"/>
        <v>1980</v>
      </c>
      <c r="F12" s="4">
        <f t="shared" si="1"/>
        <v>178.2</v>
      </c>
      <c r="G12" s="4">
        <f t="shared" si="2"/>
        <v>158.4</v>
      </c>
      <c r="H12" s="4">
        <f>E12-F12</f>
        <v>1801.8</v>
      </c>
      <c r="I12" s="4">
        <f t="shared" si="3"/>
        <v>200</v>
      </c>
      <c r="J12" s="4">
        <f t="shared" si="4"/>
        <v>2001.8</v>
      </c>
    </row>
    <row r="13" spans="1:13" x14ac:dyDescent="0.25">
      <c r="A13" s="3" t="s">
        <v>15</v>
      </c>
      <c r="B13" s="3" t="s">
        <v>22</v>
      </c>
      <c r="C13" s="4">
        <v>9</v>
      </c>
      <c r="D13" s="3">
        <v>220</v>
      </c>
      <c r="E13" s="4">
        <f t="shared" si="0"/>
        <v>1980</v>
      </c>
      <c r="F13" s="4">
        <f t="shared" si="1"/>
        <v>178.2</v>
      </c>
      <c r="G13" s="4">
        <f t="shared" si="2"/>
        <v>158.4</v>
      </c>
      <c r="H13" s="4">
        <f>E13-F13</f>
        <v>1801.8</v>
      </c>
      <c r="I13" s="4">
        <f t="shared" si="3"/>
        <v>200</v>
      </c>
      <c r="J13" s="4">
        <f t="shared" si="4"/>
        <v>2001.8</v>
      </c>
    </row>
  </sheetData>
  <mergeCells count="2">
    <mergeCell ref="A2:M2"/>
    <mergeCell ref="A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4CC22-49A7-4082-82B4-600B89F16C37}">
  <dimension ref="C14:H22"/>
  <sheetViews>
    <sheetView workbookViewId="0">
      <selection activeCell="F2" sqref="F2"/>
    </sheetView>
  </sheetViews>
  <sheetFormatPr defaultRowHeight="15" x14ac:dyDescent="0.25"/>
  <cols>
    <col min="3" max="3" width="26.140625" bestFit="1" customWidth="1"/>
    <col min="4" max="4" width="13.28515625" bestFit="1" customWidth="1"/>
    <col min="7" max="7" width="20.140625" bestFit="1" customWidth="1"/>
    <col min="8" max="8" width="11.42578125" customWidth="1"/>
  </cols>
  <sheetData>
    <row r="14" spans="3:8" x14ac:dyDescent="0.25">
      <c r="C14" s="7"/>
      <c r="D14" s="7"/>
      <c r="E14" s="7"/>
      <c r="F14" s="7"/>
      <c r="G14" s="7"/>
      <c r="H14" s="7"/>
    </row>
    <row r="15" spans="3:8" x14ac:dyDescent="0.25">
      <c r="C15" s="7"/>
      <c r="D15" s="7"/>
      <c r="E15" s="7"/>
      <c r="F15" s="7"/>
      <c r="G15" s="7"/>
      <c r="H15" s="7"/>
    </row>
    <row r="16" spans="3:8" x14ac:dyDescent="0.25">
      <c r="C16" s="8"/>
      <c r="D16" s="9"/>
      <c r="E16" s="7"/>
      <c r="F16" s="7"/>
      <c r="G16" s="8"/>
      <c r="H16" s="8"/>
    </row>
    <row r="17" spans="3:8" x14ac:dyDescent="0.25">
      <c r="C17" s="8"/>
      <c r="D17" s="9"/>
      <c r="E17" s="7"/>
      <c r="F17" s="7"/>
      <c r="G17" s="8"/>
      <c r="H17" s="8"/>
    </row>
    <row r="18" spans="3:8" x14ac:dyDescent="0.25">
      <c r="C18" s="8"/>
      <c r="D18" s="9"/>
      <c r="E18" s="7"/>
      <c r="F18" s="7"/>
      <c r="G18" s="8"/>
      <c r="H18" s="8"/>
    </row>
    <row r="19" spans="3:8" x14ac:dyDescent="0.25">
      <c r="C19" s="8"/>
      <c r="D19" s="9"/>
      <c r="E19" s="7"/>
      <c r="F19" s="7"/>
      <c r="G19" s="8"/>
      <c r="H19" s="8"/>
    </row>
    <row r="20" spans="3:8" x14ac:dyDescent="0.25">
      <c r="C20" s="8"/>
      <c r="D20" s="9"/>
      <c r="E20" s="7"/>
      <c r="F20" s="7"/>
      <c r="G20" s="8"/>
      <c r="H20" s="8"/>
    </row>
    <row r="21" spans="3:8" x14ac:dyDescent="0.25">
      <c r="C21" s="7"/>
      <c r="D21" s="7"/>
      <c r="E21" s="7"/>
      <c r="F21" s="7"/>
      <c r="G21" s="7"/>
      <c r="H21" s="7"/>
    </row>
    <row r="22" spans="3:8" x14ac:dyDescent="0.25">
      <c r="C22" s="7"/>
      <c r="D22" s="7"/>
      <c r="E22" s="7"/>
      <c r="F22" s="7"/>
      <c r="G22" s="7"/>
      <c r="H22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Folha de pagamento</vt:lpstr>
      <vt:lpstr>Planilha2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CAMARGO</dc:creator>
  <cp:lastModifiedBy>CAMARGO</cp:lastModifiedBy>
  <dcterms:created xsi:type="dcterms:W3CDTF">2026-10-05T22:08:45Z</dcterms:created>
  <dcterms:modified xsi:type="dcterms:W3CDTF">2026-10-06T01:17:57Z</dcterms:modified>
</cp:coreProperties>
</file>